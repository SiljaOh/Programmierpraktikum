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ss\Documents\uni\ProPra\"/>
    </mc:Choice>
  </mc:AlternateContent>
  <xr:revisionPtr revIDLastSave="0" documentId="8_{733E97F8-87F1-40DB-A28D-AAFCF5570C63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" i="1" l="1"/>
  <c r="D65" i="1"/>
  <c r="E65" i="1"/>
  <c r="F65" i="1"/>
  <c r="G65" i="1"/>
  <c r="H65" i="1"/>
  <c r="K65" i="1" l="1"/>
  <c r="E35" i="1"/>
  <c r="F35" i="1"/>
  <c r="G35" i="1"/>
  <c r="H35" i="1"/>
  <c r="D35" i="1"/>
  <c r="E20" i="1"/>
  <c r="F20" i="1"/>
  <c r="G20" i="1"/>
  <c r="H20" i="1"/>
  <c r="D20" i="1"/>
  <c r="K35" i="1" l="1"/>
  <c r="I21" i="1"/>
  <c r="I22" i="1"/>
  <c r="I64" i="1" l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C35" i="1"/>
  <c r="I26" i="1"/>
  <c r="I25" i="1"/>
  <c r="I24" i="1"/>
  <c r="I23" i="1"/>
  <c r="C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<sst xmlns="http://schemas.openxmlformats.org/spreadsheetml/2006/main" count="134" uniqueCount="123">
  <si>
    <t>Anleitung: Pro Teilnehmer die Anteile an der Aufgabe in die blauen Felder eintragen.</t>
  </si>
  <si>
    <t>Aufgaben</t>
  </si>
  <si>
    <t>Gruppe 17</t>
  </si>
  <si>
    <t>Silja Ohlsen</t>
  </si>
  <si>
    <t>Lara Groß</t>
  </si>
  <si>
    <t>Anna Niederlechner</t>
  </si>
  <si>
    <t>Zeno Fiocco</t>
  </si>
  <si>
    <t>(Name 5)</t>
  </si>
  <si>
    <t>Anteile ok?</t>
  </si>
  <si>
    <t>Beschreibung</t>
  </si>
  <si>
    <t>Mögliche Punkte</t>
  </si>
  <si>
    <t>Anteil</t>
  </si>
  <si>
    <t>1.1</t>
  </si>
  <si>
    <t>Style</t>
  </si>
  <si>
    <t>1.2</t>
  </si>
  <si>
    <t>Git</t>
  </si>
  <si>
    <t>1.3</t>
  </si>
  <si>
    <t>Website</t>
  </si>
  <si>
    <t>1.4</t>
  </si>
  <si>
    <t>virus</t>
  </si>
  <si>
    <t>1.5</t>
  </si>
  <si>
    <t>acsearch</t>
  </si>
  <si>
    <t>1.6</t>
  </si>
  <si>
    <t>spkeyword</t>
  </si>
  <si>
    <t>1.7</t>
  </si>
  <si>
    <t>psscan</t>
  </si>
  <si>
    <t>1.8</t>
  </si>
  <si>
    <t>genome_length</t>
  </si>
  <si>
    <t>1.9</t>
  </si>
  <si>
    <t>encode</t>
  </si>
  <si>
    <t>1.10</t>
  </si>
  <si>
    <t>genome2orf,dna2mrna,mrna2aa</t>
  </si>
  <si>
    <t>1.11</t>
  </si>
  <si>
    <t>incidence</t>
  </si>
  <si>
    <t>1.12</t>
  </si>
  <si>
    <t>unique</t>
  </si>
  <si>
    <t>1.13</t>
  </si>
  <si>
    <t>get_crispr</t>
  </si>
  <si>
    <t>1.14</t>
  </si>
  <si>
    <t>is_running / work_load_check</t>
  </si>
  <si>
    <t>1.15</t>
  </si>
  <si>
    <t>Schnittshell-Jagd</t>
  </si>
  <si>
    <t>Summe möglicher Punkte</t>
  </si>
  <si>
    <t>2.1</t>
  </si>
  <si>
    <t>2.2</t>
  </si>
  <si>
    <t>2.3</t>
  </si>
  <si>
    <t>DB-schema</t>
  </si>
  <si>
    <t>2.4</t>
  </si>
  <si>
    <t>sp_db</t>
  </si>
  <si>
    <t>2.5</t>
  </si>
  <si>
    <t>orf_finder</t>
  </si>
  <si>
    <t>2.6</t>
  </si>
  <si>
    <t>spkeyword-sql</t>
  </si>
  <si>
    <t>2.7</t>
  </si>
  <si>
    <t>psscan_sql</t>
  </si>
  <si>
    <t>2.8</t>
  </si>
  <si>
    <t>get_pdb</t>
  </si>
  <si>
    <t>2.9</t>
  </si>
  <si>
    <t>visualize_mol</t>
  </si>
  <si>
    <t>2.10</t>
  </si>
  <si>
    <t>visualize_all</t>
  </si>
  <si>
    <t>2.11</t>
  </si>
  <si>
    <t>makesscc</t>
  </si>
  <si>
    <t>2.12</t>
  </si>
  <si>
    <t>blast on mycoplasma</t>
  </si>
  <si>
    <t>2.13</t>
  </si>
  <si>
    <t>filter_crispr</t>
  </si>
  <si>
    <t>2.14</t>
  </si>
  <si>
    <t>Homstrad 2 db</t>
  </si>
  <si>
    <t>3.1.1</t>
  </si>
  <si>
    <t>Pen&amp;Paper</t>
  </si>
  <si>
    <t>3.1.2</t>
  </si>
  <si>
    <t>Recursion</t>
  </si>
  <si>
    <t>3.1.3</t>
  </si>
  <si>
    <t>DynamicProg</t>
  </si>
  <si>
    <t>3.1.4</t>
  </si>
  <si>
    <t>Benchmark</t>
  </si>
  <si>
    <t>3.1.5</t>
  </si>
  <si>
    <t>QUASAR</t>
  </si>
  <si>
    <t>3.1.6</t>
  </si>
  <si>
    <t>Backtracking</t>
  </si>
  <si>
    <t>3.1.7</t>
  </si>
  <si>
    <t>Global/Local/Freeshift</t>
  </si>
  <si>
    <t>3.1.8</t>
  </si>
  <si>
    <t>GOTOH</t>
  </si>
  <si>
    <t>3.1.9</t>
  </si>
  <si>
    <t>GOTOH Backtracking</t>
  </si>
  <si>
    <t>3.1.10</t>
  </si>
  <si>
    <t>checkscore</t>
  </si>
  <si>
    <t>3.2.1</t>
  </si>
  <si>
    <t>create-seclib</t>
  </si>
  <si>
    <t>3.2.2</t>
  </si>
  <si>
    <t>GOR I</t>
  </si>
  <si>
    <t>3.2.3</t>
  </si>
  <si>
    <t>GOR III</t>
  </si>
  <si>
    <t>3.2.4</t>
  </si>
  <si>
    <t>GOR IV</t>
  </si>
  <si>
    <t>3.2.5</t>
  </si>
  <si>
    <t>GOR V</t>
  </si>
  <si>
    <t>3.3.1</t>
  </si>
  <si>
    <t>Alignment Testset</t>
  </si>
  <si>
    <t>3.3.2</t>
  </si>
  <si>
    <t>Sens/Spec/Cov/MSE</t>
  </si>
  <si>
    <t>3.3.3</t>
  </si>
  <si>
    <t>Parameter Screen</t>
  </si>
  <si>
    <t>3.3.4</t>
  </si>
  <si>
    <t>Correlations</t>
  </si>
  <si>
    <t>3.3.5</t>
  </si>
  <si>
    <t>repeated cross-validation</t>
  </si>
  <si>
    <t>3.3.6</t>
  </si>
  <si>
    <t>Q3/SOV</t>
  </si>
  <si>
    <t>3.3.7</t>
  </si>
  <si>
    <t>GOR Testset</t>
  </si>
  <si>
    <t>3.3.8</t>
  </si>
  <si>
    <t>Plots, Comparison</t>
  </si>
  <si>
    <t>3.3.9</t>
  </si>
  <si>
    <t>PSI-PRED</t>
  </si>
  <si>
    <t>3.4</t>
  </si>
  <si>
    <t>Bonus</t>
  </si>
  <si>
    <t>BONUS  ALI</t>
  </si>
  <si>
    <t>BONUS GOR</t>
  </si>
  <si>
    <t>BONUS VALI</t>
  </si>
  <si>
    <t>BONUS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</si>
</sst>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;[Red]\-#,##0.00\ [$€-407]"/>
  </numFmts>
  <fonts count="15" x14ac:knownFonts="1">
    <font>
      <sz val="11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333333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FFCC99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A6"/>
      </patternFill>
    </fill>
    <fill>
      <patternFill patternType="solid">
        <fgColor rgb="FFFF9900"/>
        <bgColor rgb="FFFFCC00"/>
      </patternFill>
    </fill>
    <fill>
      <patternFill patternType="solid">
        <fgColor rgb="FF83CAFF"/>
        <bgColor rgb="FF9999FF"/>
      </patternFill>
    </fill>
    <fill>
      <patternFill patternType="solid">
        <fgColor rgb="FFFFFF99"/>
        <bgColor rgb="FFFFFFA6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>
      <alignment horizontal="center"/>
    </xf>
    <xf numFmtId="0" fontId="8" fillId="0" borderId="0">
      <alignment horizontal="center"/>
    </xf>
    <xf numFmtId="0" fontId="9" fillId="0" borderId="0">
      <alignment horizontal="center"/>
    </xf>
    <xf numFmtId="0" fontId="8" fillId="0" borderId="0">
      <alignment horizontal="center" textRotation="90"/>
    </xf>
    <xf numFmtId="0" fontId="10" fillId="0" borderId="0"/>
    <xf numFmtId="0" fontId="11" fillId="8" borderId="1"/>
    <xf numFmtId="0" fontId="12" fillId="0" borderId="0"/>
    <xf numFmtId="164" fontId="12" fillId="0" borderId="0"/>
    <xf numFmtId="0" fontId="14" fillId="0" borderId="0"/>
    <xf numFmtId="0" fontId="14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9" borderId="0" xfId="0" applyFill="1" applyAlignment="1">
      <alignment horizontal="center"/>
    </xf>
    <xf numFmtId="0" fontId="13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0" fillId="10" borderId="0" xfId="0" applyFill="1" applyAlignment="1">
      <alignment horizontal="center"/>
    </xf>
    <xf numFmtId="0" fontId="0" fillId="10" borderId="0" xfId="0" applyFill="1"/>
    <xf numFmtId="2" fontId="0" fillId="0" borderId="0" xfId="0" applyNumberFormat="1"/>
    <xf numFmtId="49" fontId="0" fillId="11" borderId="0" xfId="0" applyNumberFormat="1" applyFill="1"/>
    <xf numFmtId="2" fontId="0" fillId="11" borderId="0" xfId="0" applyNumberFormat="1" applyFill="1"/>
    <xf numFmtId="49" fontId="0" fillId="13" borderId="0" xfId="0" applyNumberFormat="1" applyFill="1"/>
    <xf numFmtId="49" fontId="0" fillId="12" borderId="0" xfId="0" applyNumberFormat="1" applyFill="1" applyAlignment="1">
      <alignment horizontal="center" vertical="center" wrapText="1"/>
    </xf>
    <xf numFmtId="0" fontId="0" fillId="9" borderId="0" xfId="0" applyFill="1" applyAlignment="1">
      <alignment horizontal="center"/>
    </xf>
  </cellXfs>
  <cellStyles count="20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Error 9" xfId="6" xr:uid="{00000000-0005-0000-0000-00000B000000}"/>
    <cellStyle name="Footnote 10" xfId="7" xr:uid="{00000000-0005-0000-0000-00000C000000}"/>
    <cellStyle name="Good 11" xfId="8" xr:uid="{00000000-0005-0000-0000-00000D000000}"/>
    <cellStyle name="Heading 1 13" xfId="9" xr:uid="{00000000-0005-0000-0000-00000E000000}"/>
    <cellStyle name="Heading 12" xfId="10" xr:uid="{00000000-0005-0000-0000-00000F000000}"/>
    <cellStyle name="Heading 2 14" xfId="11" xr:uid="{00000000-0005-0000-0000-000010000000}"/>
    <cellStyle name="Heading1" xfId="12" xr:uid="{00000000-0005-0000-0000-000011000000}"/>
    <cellStyle name="Hyperlink 15" xfId="13" xr:uid="{00000000-0005-0000-0000-000012000000}"/>
    <cellStyle name="Note 16" xfId="14" xr:uid="{00000000-0005-0000-0000-000013000000}"/>
    <cellStyle name="Result" xfId="15" xr:uid="{00000000-0005-0000-0000-000014000000}"/>
    <cellStyle name="Result2" xfId="16" xr:uid="{00000000-0005-0000-0000-000015000000}"/>
    <cellStyle name="Standard" xfId="0" builtinId="0"/>
    <cellStyle name="Status 17" xfId="17" xr:uid="{00000000-0005-0000-0000-000016000000}"/>
    <cellStyle name="Text 18" xfId="18" xr:uid="{00000000-0005-0000-0000-000017000000}"/>
    <cellStyle name="Warning 19" xfId="19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FCC"/>
      <rgbColor rgb="FFFFFFA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B66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18" zoomScale="81" zoomScaleNormal="100" workbookViewId="0">
      <selection activeCell="C53" sqref="C53"/>
    </sheetView>
  </sheetViews>
  <sheetFormatPr baseColWidth="10" defaultColWidth="10.69921875" defaultRowHeight="13.8" x14ac:dyDescent="0.25"/>
  <cols>
    <col min="1" max="1" width="13.69921875" style="2" customWidth="1"/>
    <col min="2" max="2" width="21.69921875" style="2" customWidth="1"/>
    <col min="3" max="3" width="18.69921875" style="2" customWidth="1"/>
    <col min="4" max="4" width="10.19921875" customWidth="1"/>
    <col min="5" max="5" width="13.09765625" customWidth="1"/>
    <col min="6" max="6" width="19.09765625" customWidth="1"/>
    <col min="7" max="7" width="14.69921875" customWidth="1"/>
    <col min="8" max="8" width="18.69921875" customWidth="1"/>
    <col min="9" max="57" width="10.19921875" customWidth="1"/>
  </cols>
  <sheetData>
    <row r="1" spans="1:9" ht="49.95" customHeight="1" x14ac:dyDescent="0.25">
      <c r="A1" s="12" t="s">
        <v>0</v>
      </c>
      <c r="B1" s="12"/>
      <c r="C1" s="12"/>
      <c r="D1" s="12"/>
      <c r="E1" s="2"/>
    </row>
    <row r="2" spans="1:9" x14ac:dyDescent="0.25">
      <c r="A2" s="2" t="s">
        <v>1</v>
      </c>
      <c r="C2"/>
      <c r="D2" s="13" t="s">
        <v>2</v>
      </c>
      <c r="E2" s="13"/>
      <c r="F2" s="13"/>
      <c r="G2" s="13"/>
      <c r="H2" s="3"/>
    </row>
    <row r="3" spans="1:9" x14ac:dyDescent="0.25"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5">
      <c r="B4" s="2" t="s">
        <v>9</v>
      </c>
      <c r="C4" s="2" t="s">
        <v>10</v>
      </c>
      <c r="D4" s="1" t="s">
        <v>11</v>
      </c>
      <c r="E4" s="1" t="s">
        <v>11</v>
      </c>
      <c r="F4" s="1" t="s">
        <v>11</v>
      </c>
      <c r="G4" s="1" t="s">
        <v>11</v>
      </c>
      <c r="H4" t="s">
        <v>11</v>
      </c>
      <c r="I4" s="4"/>
    </row>
    <row r="5" spans="1:9" x14ac:dyDescent="0.25">
      <c r="A5" s="2" t="s">
        <v>12</v>
      </c>
      <c r="B5" s="2" t="s">
        <v>13</v>
      </c>
      <c r="C5" s="5"/>
      <c r="D5" s="6"/>
      <c r="E5" s="6"/>
      <c r="F5" s="6"/>
      <c r="G5" s="6"/>
      <c r="H5" s="7"/>
      <c r="I5" s="1"/>
    </row>
    <row r="6" spans="1:9" x14ac:dyDescent="0.25">
      <c r="A6" s="2" t="s">
        <v>14</v>
      </c>
      <c r="B6" s="2" t="s">
        <v>15</v>
      </c>
      <c r="C6" s="8">
        <v>5</v>
      </c>
      <c r="D6" s="7"/>
      <c r="E6" s="7">
        <v>1</v>
      </c>
      <c r="F6" s="7"/>
      <c r="G6" s="7"/>
      <c r="H6" s="7"/>
      <c r="I6" s="1" t="str">
        <f t="shared" ref="I6:I19" si="0">CONCATENATE(SUM(D6,E6,F6,G6,H6)*100,"%")</f>
        <v>100%</v>
      </c>
    </row>
    <row r="7" spans="1:9" x14ac:dyDescent="0.25">
      <c r="A7" s="2" t="s">
        <v>16</v>
      </c>
      <c r="B7" s="2" t="s">
        <v>17</v>
      </c>
      <c r="C7" s="8">
        <v>5</v>
      </c>
      <c r="D7" s="7"/>
      <c r="E7" s="7"/>
      <c r="F7" s="7"/>
      <c r="G7" s="7">
        <v>1</v>
      </c>
      <c r="H7" s="7"/>
      <c r="I7" s="1" t="str">
        <f t="shared" si="0"/>
        <v>100%</v>
      </c>
    </row>
    <row r="8" spans="1:9" x14ac:dyDescent="0.25">
      <c r="A8" s="2" t="s">
        <v>18</v>
      </c>
      <c r="B8" s="2" t="s">
        <v>19</v>
      </c>
      <c r="C8" s="8">
        <v>5</v>
      </c>
      <c r="D8" s="7"/>
      <c r="E8" s="7"/>
      <c r="F8" s="7"/>
      <c r="G8" s="7">
        <v>1</v>
      </c>
      <c r="H8" s="7"/>
      <c r="I8" s="1" t="str">
        <f>CONCATENATE(SUM(D8,E8,F8,G8,H8)*100,"%")</f>
        <v>100%</v>
      </c>
    </row>
    <row r="9" spans="1:9" x14ac:dyDescent="0.25">
      <c r="A9" s="2" t="s">
        <v>20</v>
      </c>
      <c r="B9" s="2" t="s">
        <v>21</v>
      </c>
      <c r="C9" s="8">
        <v>8</v>
      </c>
      <c r="D9" s="7"/>
      <c r="E9" s="7">
        <v>1</v>
      </c>
      <c r="F9" s="7"/>
      <c r="G9" s="7"/>
      <c r="H9" s="7"/>
      <c r="I9" s="1" t="str">
        <f>CONCATENATE(SUM(D9,E9,F9,G9,H9)*100,"%")</f>
        <v>100%</v>
      </c>
    </row>
    <row r="10" spans="1:9" x14ac:dyDescent="0.25">
      <c r="A10" s="2" t="s">
        <v>22</v>
      </c>
      <c r="B10" s="2" t="s">
        <v>23</v>
      </c>
      <c r="C10" s="8">
        <v>13</v>
      </c>
      <c r="D10" s="7"/>
      <c r="E10" s="7"/>
      <c r="F10" s="7"/>
      <c r="G10" s="7">
        <v>1</v>
      </c>
      <c r="H10" s="7"/>
      <c r="I10" s="1" t="str">
        <f t="shared" si="0"/>
        <v>100%</v>
      </c>
    </row>
    <row r="11" spans="1:9" x14ac:dyDescent="0.25">
      <c r="A11" s="2" t="s">
        <v>24</v>
      </c>
      <c r="B11" s="2" t="s">
        <v>25</v>
      </c>
      <c r="C11" s="8">
        <v>18</v>
      </c>
      <c r="D11" s="7"/>
      <c r="E11" s="7"/>
      <c r="F11" s="7">
        <v>1</v>
      </c>
      <c r="G11" s="7"/>
      <c r="H11" s="7"/>
      <c r="I11" s="1" t="str">
        <f t="shared" si="0"/>
        <v>100%</v>
      </c>
    </row>
    <row r="12" spans="1:9" x14ac:dyDescent="0.25">
      <c r="A12" s="2" t="s">
        <v>26</v>
      </c>
      <c r="B12" s="2" t="s">
        <v>27</v>
      </c>
      <c r="C12" s="8">
        <v>8</v>
      </c>
      <c r="D12" s="7"/>
      <c r="E12" s="7">
        <v>1</v>
      </c>
      <c r="F12" s="7"/>
      <c r="G12" s="7"/>
      <c r="H12" s="7"/>
      <c r="I12" s="1" t="str">
        <f t="shared" si="0"/>
        <v>100%</v>
      </c>
    </row>
    <row r="13" spans="1:9" x14ac:dyDescent="0.25">
      <c r="A13" s="2" t="s">
        <v>28</v>
      </c>
      <c r="B13" s="2" t="s">
        <v>29</v>
      </c>
      <c r="C13" s="8">
        <v>20</v>
      </c>
      <c r="D13" s="7"/>
      <c r="E13" s="7"/>
      <c r="F13" s="7">
        <v>1</v>
      </c>
      <c r="G13" s="7"/>
      <c r="H13" s="7"/>
      <c r="I13" s="1" t="str">
        <f t="shared" si="0"/>
        <v>100%</v>
      </c>
    </row>
    <row r="14" spans="1:9" x14ac:dyDescent="0.25">
      <c r="A14" s="2" t="s">
        <v>30</v>
      </c>
      <c r="B14" s="2" t="s">
        <v>31</v>
      </c>
      <c r="C14" s="8">
        <v>18</v>
      </c>
      <c r="D14" s="7">
        <v>1</v>
      </c>
      <c r="E14" s="7"/>
      <c r="F14" s="7"/>
      <c r="G14" s="7"/>
      <c r="H14" s="7"/>
      <c r="I14" s="1" t="str">
        <f t="shared" si="0"/>
        <v>100%</v>
      </c>
    </row>
    <row r="15" spans="1:9" x14ac:dyDescent="0.25">
      <c r="A15" s="2" t="s">
        <v>32</v>
      </c>
      <c r="B15" s="2" t="s">
        <v>33</v>
      </c>
      <c r="C15" s="8">
        <v>10</v>
      </c>
      <c r="D15" s="7"/>
      <c r="E15" s="7">
        <v>1</v>
      </c>
      <c r="F15" s="7"/>
      <c r="G15" s="7"/>
      <c r="H15" s="7"/>
      <c r="I15" s="1" t="str">
        <f t="shared" si="0"/>
        <v>100%</v>
      </c>
    </row>
    <row r="16" spans="1:9" x14ac:dyDescent="0.25">
      <c r="A16" s="2" t="s">
        <v>34</v>
      </c>
      <c r="B16" s="2" t="s">
        <v>35</v>
      </c>
      <c r="C16" s="8">
        <v>20</v>
      </c>
      <c r="D16" s="7">
        <v>1</v>
      </c>
      <c r="E16" s="7"/>
      <c r="F16" s="7"/>
      <c r="G16" s="7"/>
      <c r="H16" s="7"/>
      <c r="I16" s="1" t="str">
        <f t="shared" si="0"/>
        <v>100%</v>
      </c>
    </row>
    <row r="17" spans="1:11" x14ac:dyDescent="0.25">
      <c r="A17" s="2" t="s">
        <v>36</v>
      </c>
      <c r="B17" s="2" t="s">
        <v>37</v>
      </c>
      <c r="C17" s="8">
        <v>5</v>
      </c>
      <c r="D17" s="7"/>
      <c r="E17" s="7">
        <v>1</v>
      </c>
      <c r="F17" s="7"/>
      <c r="G17" s="7"/>
      <c r="H17" s="7"/>
      <c r="I17" s="1" t="str">
        <f t="shared" si="0"/>
        <v>100%</v>
      </c>
    </row>
    <row r="18" spans="1:11" x14ac:dyDescent="0.25">
      <c r="A18" s="2" t="s">
        <v>38</v>
      </c>
      <c r="B18" s="2" t="s">
        <v>39</v>
      </c>
      <c r="C18" s="8">
        <v>5</v>
      </c>
      <c r="D18" s="7"/>
      <c r="E18" s="7"/>
      <c r="F18" s="7"/>
      <c r="G18" s="7">
        <v>1</v>
      </c>
      <c r="H18" s="7"/>
      <c r="I18" s="1" t="str">
        <f t="shared" si="0"/>
        <v>100%</v>
      </c>
    </row>
    <row r="19" spans="1:11" x14ac:dyDescent="0.25">
      <c r="A19" s="2" t="s">
        <v>40</v>
      </c>
      <c r="B19" s="2" t="s">
        <v>41</v>
      </c>
      <c r="C19" s="8">
        <v>10</v>
      </c>
      <c r="D19" s="7"/>
      <c r="E19" s="7"/>
      <c r="F19" s="7"/>
      <c r="G19" s="7">
        <v>1</v>
      </c>
      <c r="H19" s="7"/>
      <c r="I19" s="1" t="str">
        <f t="shared" si="0"/>
        <v>100%</v>
      </c>
    </row>
    <row r="20" spans="1:11" x14ac:dyDescent="0.25">
      <c r="A20" s="9" t="s">
        <v>42</v>
      </c>
      <c r="B20" s="9"/>
      <c r="C20" s="10">
        <f>SUM(C5:C19)</f>
        <v>150</v>
      </c>
      <c r="D20">
        <f>SUMPRODUCT(D6:D19,$C6:$C19)</f>
        <v>38</v>
      </c>
      <c r="E20">
        <f t="shared" ref="E20:H20" si="1">SUMPRODUCT(E6:E19,$C6:$C19)</f>
        <v>36</v>
      </c>
      <c r="F20">
        <f t="shared" si="1"/>
        <v>38</v>
      </c>
      <c r="G20">
        <f t="shared" si="1"/>
        <v>38</v>
      </c>
      <c r="H20">
        <f t="shared" si="1"/>
        <v>0</v>
      </c>
      <c r="I20" s="1"/>
      <c r="K20">
        <f>SUM(D20:H20)</f>
        <v>150</v>
      </c>
    </row>
    <row r="21" spans="1:11" x14ac:dyDescent="0.25">
      <c r="A21" s="2" t="s">
        <v>43</v>
      </c>
      <c r="B21" s="2" t="s">
        <v>13</v>
      </c>
      <c r="C21" s="8"/>
      <c r="D21" s="7"/>
      <c r="E21" s="7"/>
      <c r="F21" s="7"/>
      <c r="G21" s="7"/>
      <c r="H21" s="7"/>
      <c r="I21" s="1" t="str">
        <f t="shared" ref="I21:I34" si="2">CONCATENATE(SUM(D21,E21,F21,G21,H21)*100,"%")</f>
        <v>0%</v>
      </c>
    </row>
    <row r="22" spans="1:11" x14ac:dyDescent="0.25">
      <c r="A22" s="2" t="s">
        <v>44</v>
      </c>
      <c r="B22" s="2" t="s">
        <v>15</v>
      </c>
      <c r="C22" s="8"/>
      <c r="D22" s="7"/>
      <c r="E22" s="7"/>
      <c r="F22" s="7"/>
      <c r="G22" s="7"/>
      <c r="H22" s="7"/>
      <c r="I22" s="1" t="str">
        <f t="shared" si="2"/>
        <v>0%</v>
      </c>
    </row>
    <row r="23" spans="1:11" x14ac:dyDescent="0.25">
      <c r="A23" s="2" t="s">
        <v>45</v>
      </c>
      <c r="B23" s="2" t="s">
        <v>46</v>
      </c>
      <c r="C23" s="8">
        <v>20</v>
      </c>
      <c r="D23" s="7">
        <v>0.2</v>
      </c>
      <c r="E23" s="7">
        <v>0.2</v>
      </c>
      <c r="F23" s="7">
        <v>0.2</v>
      </c>
      <c r="G23" s="7">
        <v>0.4</v>
      </c>
      <c r="H23" s="7"/>
      <c r="I23" s="1" t="str">
        <f t="shared" si="2"/>
        <v>100%</v>
      </c>
    </row>
    <row r="24" spans="1:11" x14ac:dyDescent="0.25">
      <c r="A24" s="2" t="s">
        <v>47</v>
      </c>
      <c r="B24" s="2" t="s">
        <v>48</v>
      </c>
      <c r="C24" s="8">
        <v>15</v>
      </c>
      <c r="D24" s="7"/>
      <c r="E24" s="7"/>
      <c r="F24" s="7">
        <v>1</v>
      </c>
      <c r="G24" s="7"/>
      <c r="H24" s="7"/>
      <c r="I24" s="1" t="str">
        <f t="shared" si="2"/>
        <v>100%</v>
      </c>
    </row>
    <row r="25" spans="1:11" x14ac:dyDescent="0.25">
      <c r="A25" s="2" t="s">
        <v>49</v>
      </c>
      <c r="B25" s="2" t="s">
        <v>50</v>
      </c>
      <c r="C25" s="8">
        <v>25</v>
      </c>
      <c r="D25" s="7">
        <v>1</v>
      </c>
      <c r="E25" s="7"/>
      <c r="F25" s="7"/>
      <c r="G25" s="7"/>
      <c r="H25" s="7"/>
      <c r="I25" s="1" t="str">
        <f t="shared" si="2"/>
        <v>100%</v>
      </c>
    </row>
    <row r="26" spans="1:11" x14ac:dyDescent="0.25">
      <c r="A26" s="2" t="s">
        <v>51</v>
      </c>
      <c r="B26" s="2" t="s">
        <v>52</v>
      </c>
      <c r="C26" s="8">
        <v>5</v>
      </c>
      <c r="D26" s="7"/>
      <c r="E26" s="7"/>
      <c r="F26" s="7"/>
      <c r="G26" s="7">
        <v>1</v>
      </c>
      <c r="H26" s="7"/>
      <c r="I26" s="1" t="str">
        <f t="shared" si="2"/>
        <v>100%</v>
      </c>
    </row>
    <row r="27" spans="1:11" x14ac:dyDescent="0.25">
      <c r="A27" s="2" t="s">
        <v>53</v>
      </c>
      <c r="B27" s="2" t="s">
        <v>54</v>
      </c>
      <c r="C27" s="8">
        <v>5</v>
      </c>
      <c r="D27" s="7"/>
      <c r="E27" s="7"/>
      <c r="F27" s="7">
        <v>1</v>
      </c>
      <c r="G27" s="7"/>
      <c r="H27" s="7"/>
      <c r="I27" s="1" t="str">
        <f t="shared" si="2"/>
        <v>100%</v>
      </c>
    </row>
    <row r="28" spans="1:11" x14ac:dyDescent="0.25">
      <c r="A28" s="2" t="s">
        <v>55</v>
      </c>
      <c r="B28" s="2" t="s">
        <v>56</v>
      </c>
      <c r="C28" s="8">
        <v>5</v>
      </c>
      <c r="D28" s="7"/>
      <c r="E28" s="7">
        <v>1</v>
      </c>
      <c r="F28" s="7"/>
      <c r="G28" s="7"/>
      <c r="H28" s="7"/>
      <c r="I28" s="1" t="str">
        <f t="shared" si="2"/>
        <v>100%</v>
      </c>
    </row>
    <row r="29" spans="1:11" x14ac:dyDescent="0.25">
      <c r="A29" s="2" t="s">
        <v>57</v>
      </c>
      <c r="B29" s="2" t="s">
        <v>58</v>
      </c>
      <c r="C29" s="8">
        <v>10</v>
      </c>
      <c r="D29" s="7"/>
      <c r="E29" s="7">
        <v>1</v>
      </c>
      <c r="F29" s="7"/>
      <c r="G29" s="7"/>
      <c r="H29" s="7"/>
      <c r="I29" s="1" t="str">
        <f t="shared" si="2"/>
        <v>100%</v>
      </c>
    </row>
    <row r="30" spans="1:11" x14ac:dyDescent="0.25">
      <c r="A30" s="2" t="s">
        <v>59</v>
      </c>
      <c r="B30" s="2" t="s">
        <v>60</v>
      </c>
      <c r="C30" s="8">
        <v>15</v>
      </c>
      <c r="D30" s="7"/>
      <c r="E30" s="7">
        <v>1</v>
      </c>
      <c r="F30" s="7"/>
      <c r="G30" s="7"/>
      <c r="H30" s="7"/>
      <c r="I30" s="1" t="str">
        <f t="shared" si="2"/>
        <v>100%</v>
      </c>
    </row>
    <row r="31" spans="1:11" x14ac:dyDescent="0.25">
      <c r="A31" s="2" t="s">
        <v>61</v>
      </c>
      <c r="B31" s="2" t="s">
        <v>62</v>
      </c>
      <c r="C31" s="8">
        <v>30</v>
      </c>
      <c r="D31" s="7"/>
      <c r="E31" s="7"/>
      <c r="F31" s="7"/>
      <c r="G31" s="7">
        <v>1</v>
      </c>
      <c r="H31" s="7"/>
      <c r="I31" s="1" t="str">
        <f t="shared" si="2"/>
        <v>100%</v>
      </c>
    </row>
    <row r="32" spans="1:11" x14ac:dyDescent="0.25">
      <c r="A32" s="2" t="s">
        <v>63</v>
      </c>
      <c r="B32" s="2" t="s">
        <v>64</v>
      </c>
      <c r="C32" s="8">
        <v>5</v>
      </c>
      <c r="D32" s="7"/>
      <c r="E32" s="7"/>
      <c r="F32" s="7">
        <v>1</v>
      </c>
      <c r="G32" s="7"/>
      <c r="H32" s="7"/>
      <c r="I32" s="1" t="str">
        <f t="shared" si="2"/>
        <v>100%</v>
      </c>
    </row>
    <row r="33" spans="1:11" x14ac:dyDescent="0.25">
      <c r="A33" s="2" t="s">
        <v>65</v>
      </c>
      <c r="B33" s="2" t="s">
        <v>66</v>
      </c>
      <c r="C33" s="8">
        <v>10</v>
      </c>
      <c r="D33" s="7"/>
      <c r="E33" s="7">
        <v>1</v>
      </c>
      <c r="F33" s="7"/>
      <c r="G33" s="7"/>
      <c r="H33" s="7"/>
      <c r="I33" s="1" t="str">
        <f t="shared" si="2"/>
        <v>100%</v>
      </c>
    </row>
    <row r="34" spans="1:11" x14ac:dyDescent="0.25">
      <c r="A34" s="2" t="s">
        <v>67</v>
      </c>
      <c r="B34" s="2" t="s">
        <v>68</v>
      </c>
      <c r="C34" s="8">
        <v>30</v>
      </c>
      <c r="D34" s="7">
        <v>0.5</v>
      </c>
      <c r="E34" s="7"/>
      <c r="F34" s="7">
        <v>0.5</v>
      </c>
      <c r="G34" s="7"/>
      <c r="H34" s="7"/>
      <c r="I34" s="1" t="str">
        <f t="shared" si="2"/>
        <v>100%</v>
      </c>
    </row>
    <row r="35" spans="1:11" x14ac:dyDescent="0.25">
      <c r="A35" s="9" t="s">
        <v>42</v>
      </c>
      <c r="B35" s="9"/>
      <c r="C35" s="10">
        <f>SUM(C22:C34)</f>
        <v>175</v>
      </c>
      <c r="D35">
        <f>SUMPRODUCT(D23:D34,$C23:$C34)</f>
        <v>44</v>
      </c>
      <c r="E35">
        <f t="shared" ref="E35:H35" si="3">SUMPRODUCT(E23:E34,$C23:$C34)</f>
        <v>44</v>
      </c>
      <c r="F35">
        <f t="shared" si="3"/>
        <v>44</v>
      </c>
      <c r="G35">
        <f t="shared" si="3"/>
        <v>43</v>
      </c>
      <c r="H35">
        <f t="shared" si="3"/>
        <v>0</v>
      </c>
      <c r="I35" s="1"/>
      <c r="K35">
        <f>SUM(D35:H35)</f>
        <v>175</v>
      </c>
    </row>
    <row r="36" spans="1:11" x14ac:dyDescent="0.25">
      <c r="A36" s="2" t="s">
        <v>69</v>
      </c>
      <c r="B36" s="2" t="s">
        <v>70</v>
      </c>
      <c r="D36" s="7"/>
      <c r="E36" s="7"/>
      <c r="F36" s="7"/>
      <c r="G36" s="7"/>
      <c r="H36" s="7"/>
      <c r="I36" s="1" t="str">
        <f t="shared" ref="I36:I64" si="4">CONCATENATE(SUM(D36,E36,F36,G36,H36)*100,"%")</f>
        <v>0%</v>
      </c>
    </row>
    <row r="37" spans="1:11" x14ac:dyDescent="0.25">
      <c r="A37" s="2" t="s">
        <v>71</v>
      </c>
      <c r="B37" s="2" t="s">
        <v>72</v>
      </c>
      <c r="D37" s="7"/>
      <c r="E37" s="7"/>
      <c r="F37" s="7"/>
      <c r="G37" s="7"/>
      <c r="H37" s="7"/>
      <c r="I37" s="1" t="str">
        <f t="shared" si="4"/>
        <v>0%</v>
      </c>
    </row>
    <row r="38" spans="1:11" x14ac:dyDescent="0.25">
      <c r="A38" s="2" t="s">
        <v>73</v>
      </c>
      <c r="B38" s="2" t="s">
        <v>74</v>
      </c>
      <c r="D38" s="7"/>
      <c r="E38" s="7"/>
      <c r="F38" s="7"/>
      <c r="G38" s="7"/>
      <c r="H38" s="7"/>
      <c r="I38" s="1" t="str">
        <f t="shared" si="4"/>
        <v>0%</v>
      </c>
    </row>
    <row r="39" spans="1:11" x14ac:dyDescent="0.25">
      <c r="A39" s="2" t="s">
        <v>75</v>
      </c>
      <c r="B39" s="2" t="s">
        <v>76</v>
      </c>
      <c r="D39" s="7"/>
      <c r="E39" s="7"/>
      <c r="F39" s="7"/>
      <c r="G39" s="7"/>
      <c r="H39" s="7"/>
      <c r="I39" s="1" t="str">
        <f t="shared" si="4"/>
        <v>0%</v>
      </c>
    </row>
    <row r="40" spans="1:11" x14ac:dyDescent="0.25">
      <c r="A40" s="2" t="s">
        <v>77</v>
      </c>
      <c r="B40" s="2" t="s">
        <v>78</v>
      </c>
      <c r="D40" s="7"/>
      <c r="E40" s="7"/>
      <c r="F40" s="7"/>
      <c r="G40" s="7"/>
      <c r="H40" s="7"/>
      <c r="I40" s="1" t="str">
        <f t="shared" si="4"/>
        <v>0%</v>
      </c>
    </row>
    <row r="41" spans="1:11" x14ac:dyDescent="0.25">
      <c r="A41" s="2" t="s">
        <v>79</v>
      </c>
      <c r="B41" s="2" t="s">
        <v>80</v>
      </c>
      <c r="D41" s="7"/>
      <c r="E41" s="7"/>
      <c r="F41" s="7"/>
      <c r="G41" s="7"/>
      <c r="H41" s="7"/>
      <c r="I41" s="1" t="str">
        <f t="shared" si="4"/>
        <v>0%</v>
      </c>
    </row>
    <row r="42" spans="1:11" x14ac:dyDescent="0.25">
      <c r="A42" s="2" t="s">
        <v>81</v>
      </c>
      <c r="B42" s="2" t="s">
        <v>82</v>
      </c>
      <c r="D42" s="7"/>
      <c r="E42" s="7"/>
      <c r="F42" s="7"/>
      <c r="G42" s="7"/>
      <c r="H42" s="7"/>
      <c r="I42" s="1" t="str">
        <f t="shared" si="4"/>
        <v>0%</v>
      </c>
    </row>
    <row r="43" spans="1:11" x14ac:dyDescent="0.25">
      <c r="A43" s="2" t="s">
        <v>83</v>
      </c>
      <c r="B43" s="2" t="s">
        <v>84</v>
      </c>
      <c r="D43" s="7"/>
      <c r="E43" s="7"/>
      <c r="F43" s="7"/>
      <c r="G43" s="7"/>
      <c r="H43" s="7"/>
      <c r="I43" s="1" t="str">
        <f t="shared" si="4"/>
        <v>0%</v>
      </c>
    </row>
    <row r="44" spans="1:11" x14ac:dyDescent="0.25">
      <c r="A44" s="2" t="s">
        <v>85</v>
      </c>
      <c r="B44" s="2" t="s">
        <v>86</v>
      </c>
      <c r="D44" s="7"/>
      <c r="E44" s="7"/>
      <c r="F44" s="7"/>
      <c r="G44" s="7"/>
      <c r="H44" s="7"/>
      <c r="I44" s="1" t="str">
        <f t="shared" si="4"/>
        <v>0%</v>
      </c>
    </row>
    <row r="45" spans="1:11" x14ac:dyDescent="0.25">
      <c r="A45" s="2" t="s">
        <v>87</v>
      </c>
      <c r="B45" s="2" t="s">
        <v>88</v>
      </c>
      <c r="D45" s="7"/>
      <c r="E45" s="7"/>
      <c r="F45" s="7"/>
      <c r="G45" s="7"/>
      <c r="H45" s="7"/>
      <c r="I45" s="1" t="str">
        <f t="shared" si="4"/>
        <v>0%</v>
      </c>
    </row>
    <row r="46" spans="1:11" x14ac:dyDescent="0.25">
      <c r="A46" s="11" t="s">
        <v>89</v>
      </c>
      <c r="B46" s="11" t="s">
        <v>90</v>
      </c>
      <c r="D46" s="7"/>
      <c r="E46" s="7"/>
      <c r="F46" s="7"/>
      <c r="G46" s="7"/>
      <c r="H46" s="7"/>
      <c r="I46" s="1" t="str">
        <f t="shared" si="4"/>
        <v>0%</v>
      </c>
    </row>
    <row r="47" spans="1:11" x14ac:dyDescent="0.25">
      <c r="A47" s="11" t="s">
        <v>91</v>
      </c>
      <c r="B47" s="11" t="s">
        <v>92</v>
      </c>
      <c r="D47" s="7"/>
      <c r="E47" s="7"/>
      <c r="F47" s="7"/>
      <c r="G47" s="7"/>
      <c r="H47" s="7"/>
      <c r="I47" s="1" t="str">
        <f t="shared" si="4"/>
        <v>0%</v>
      </c>
    </row>
    <row r="48" spans="1:11" x14ac:dyDescent="0.25">
      <c r="A48" s="11" t="s">
        <v>93</v>
      </c>
      <c r="B48" s="11" t="s">
        <v>94</v>
      </c>
      <c r="D48" s="7"/>
      <c r="E48" s="7"/>
      <c r="F48" s="7"/>
      <c r="G48" s="7"/>
      <c r="H48" s="7"/>
      <c r="I48" s="1" t="str">
        <f t="shared" si="4"/>
        <v>0%</v>
      </c>
    </row>
    <row r="49" spans="1:9" x14ac:dyDescent="0.25">
      <c r="A49" s="11" t="s">
        <v>95</v>
      </c>
      <c r="B49" s="11" t="s">
        <v>96</v>
      </c>
      <c r="D49" s="7"/>
      <c r="E49" s="7"/>
      <c r="F49" s="7"/>
      <c r="G49" s="7"/>
      <c r="H49" s="7"/>
      <c r="I49" s="1" t="str">
        <f t="shared" si="4"/>
        <v>0%</v>
      </c>
    </row>
    <row r="50" spans="1:9" x14ac:dyDescent="0.25">
      <c r="A50" s="11" t="s">
        <v>97</v>
      </c>
      <c r="B50" s="11" t="s">
        <v>98</v>
      </c>
      <c r="D50" s="7"/>
      <c r="E50" s="7"/>
      <c r="F50" s="7"/>
      <c r="G50" s="7"/>
      <c r="H50" s="7"/>
      <c r="I50" s="1" t="str">
        <f t="shared" si="4"/>
        <v>0%</v>
      </c>
    </row>
    <row r="51" spans="1:9" x14ac:dyDescent="0.25">
      <c r="A51" s="2" t="s">
        <v>99</v>
      </c>
      <c r="B51" s="2" t="s">
        <v>100</v>
      </c>
      <c r="D51" s="7"/>
      <c r="E51" s="7"/>
      <c r="F51" s="7"/>
      <c r="G51" s="7"/>
      <c r="H51" s="7"/>
      <c r="I51" s="1" t="str">
        <f t="shared" si="4"/>
        <v>0%</v>
      </c>
    </row>
    <row r="52" spans="1:9" x14ac:dyDescent="0.25">
      <c r="A52" s="2" t="s">
        <v>101</v>
      </c>
      <c r="B52" s="2" t="s">
        <v>102</v>
      </c>
      <c r="D52" s="7"/>
      <c r="E52" s="7"/>
      <c r="F52" s="7"/>
      <c r="G52" s="7"/>
      <c r="H52" s="7"/>
      <c r="I52" s="1" t="str">
        <f t="shared" si="4"/>
        <v>0%</v>
      </c>
    </row>
    <row r="53" spans="1:9" x14ac:dyDescent="0.25">
      <c r="A53" s="2" t="s">
        <v>103</v>
      </c>
      <c r="B53" s="2" t="s">
        <v>104</v>
      </c>
      <c r="D53" s="7"/>
      <c r="E53" s="7"/>
      <c r="F53" s="7"/>
      <c r="G53" s="7"/>
      <c r="H53" s="7"/>
      <c r="I53" s="1" t="str">
        <f t="shared" si="4"/>
        <v>0%</v>
      </c>
    </row>
    <row r="54" spans="1:9" x14ac:dyDescent="0.25">
      <c r="A54" s="2" t="s">
        <v>105</v>
      </c>
      <c r="B54" s="2" t="s">
        <v>106</v>
      </c>
      <c r="D54" s="7"/>
      <c r="E54" s="7"/>
      <c r="F54" s="7"/>
      <c r="G54" s="7"/>
      <c r="H54" s="7"/>
      <c r="I54" s="1" t="str">
        <f t="shared" si="4"/>
        <v>0%</v>
      </c>
    </row>
    <row r="55" spans="1:9" x14ac:dyDescent="0.25">
      <c r="A55" s="11" t="s">
        <v>107</v>
      </c>
      <c r="B55" s="11" t="s">
        <v>108</v>
      </c>
      <c r="D55" s="7"/>
      <c r="E55" s="7"/>
      <c r="F55" s="7"/>
      <c r="G55" s="7"/>
      <c r="H55" s="7"/>
      <c r="I55" s="1" t="str">
        <f t="shared" si="4"/>
        <v>0%</v>
      </c>
    </row>
    <row r="56" spans="1:9" x14ac:dyDescent="0.25">
      <c r="A56" s="11" t="s">
        <v>109</v>
      </c>
      <c r="B56" s="11" t="s">
        <v>110</v>
      </c>
      <c r="D56" s="7"/>
      <c r="E56" s="7"/>
      <c r="F56" s="7"/>
      <c r="G56" s="7"/>
      <c r="H56" s="7"/>
      <c r="I56" s="1" t="str">
        <f t="shared" si="4"/>
        <v>0%</v>
      </c>
    </row>
    <row r="57" spans="1:9" x14ac:dyDescent="0.25">
      <c r="A57" s="11" t="s">
        <v>111</v>
      </c>
      <c r="B57" s="11" t="s">
        <v>112</v>
      </c>
      <c r="D57" s="7"/>
      <c r="E57" s="7"/>
      <c r="F57" s="7"/>
      <c r="G57" s="7"/>
      <c r="H57" s="7"/>
      <c r="I57" s="1" t="str">
        <f t="shared" si="4"/>
        <v>0%</v>
      </c>
    </row>
    <row r="58" spans="1:9" x14ac:dyDescent="0.25">
      <c r="A58" s="11" t="s">
        <v>113</v>
      </c>
      <c r="B58" s="11" t="s">
        <v>114</v>
      </c>
      <c r="D58" s="7"/>
      <c r="E58" s="7"/>
      <c r="F58" s="7"/>
      <c r="G58" s="7"/>
      <c r="H58" s="7"/>
      <c r="I58" s="1" t="str">
        <f t="shared" si="4"/>
        <v>0%</v>
      </c>
    </row>
    <row r="59" spans="1:9" x14ac:dyDescent="0.25">
      <c r="A59" s="11" t="s">
        <v>115</v>
      </c>
      <c r="B59" s="11" t="s">
        <v>116</v>
      </c>
      <c r="D59" s="7"/>
      <c r="E59" s="7"/>
      <c r="F59" s="7"/>
      <c r="G59" s="7"/>
      <c r="H59" s="7"/>
      <c r="I59" s="1" t="str">
        <f t="shared" si="4"/>
        <v>0%</v>
      </c>
    </row>
    <row r="60" spans="1:9" x14ac:dyDescent="0.25">
      <c r="A60" s="2" t="s">
        <v>117</v>
      </c>
      <c r="B60" s="2" t="s">
        <v>17</v>
      </c>
      <c r="D60" s="7"/>
      <c r="E60" s="7"/>
      <c r="F60" s="7"/>
      <c r="G60" s="7"/>
      <c r="H60" s="7"/>
      <c r="I60" s="1" t="str">
        <f t="shared" si="4"/>
        <v>0%</v>
      </c>
    </row>
    <row r="61" spans="1:9" x14ac:dyDescent="0.25">
      <c r="A61" s="2" t="s">
        <v>118</v>
      </c>
      <c r="B61" s="2" t="s">
        <v>119</v>
      </c>
      <c r="D61" s="7"/>
      <c r="E61" s="7"/>
      <c r="F61" s="7"/>
      <c r="G61" s="7"/>
      <c r="H61" s="7"/>
      <c r="I61" s="1" t="str">
        <f t="shared" si="4"/>
        <v>0%</v>
      </c>
    </row>
    <row r="62" spans="1:9" x14ac:dyDescent="0.25">
      <c r="A62" s="2" t="s">
        <v>118</v>
      </c>
      <c r="B62" s="2" t="s">
        <v>120</v>
      </c>
      <c r="D62" s="7"/>
      <c r="E62" s="7"/>
      <c r="F62" s="7"/>
      <c r="G62" s="7"/>
      <c r="H62" s="7"/>
      <c r="I62" s="1" t="str">
        <f t="shared" si="4"/>
        <v>0%</v>
      </c>
    </row>
    <row r="63" spans="1:9" x14ac:dyDescent="0.25">
      <c r="A63" s="2" t="s">
        <v>118</v>
      </c>
      <c r="B63" s="2" t="s">
        <v>121</v>
      </c>
      <c r="D63" s="7"/>
      <c r="E63" s="7"/>
      <c r="F63" s="7"/>
      <c r="G63" s="7"/>
      <c r="H63" s="7"/>
      <c r="I63" s="1" t="str">
        <f t="shared" si="4"/>
        <v>0%</v>
      </c>
    </row>
    <row r="64" spans="1:9" x14ac:dyDescent="0.25">
      <c r="A64" s="2" t="s">
        <v>118</v>
      </c>
      <c r="B64" s="2" t="s">
        <v>122</v>
      </c>
      <c r="D64" s="7"/>
      <c r="E64" s="7"/>
      <c r="F64" s="7"/>
      <c r="G64" s="7"/>
      <c r="H64" s="7"/>
      <c r="I64" s="1" t="str">
        <f t="shared" si="4"/>
        <v>0%</v>
      </c>
    </row>
    <row r="65" spans="3:11" x14ac:dyDescent="0.25">
      <c r="C65" s="8"/>
      <c r="D65">
        <f t="shared" ref="D65:G65" si="5">SUM(D36:D64)</f>
        <v>0</v>
      </c>
      <c r="E65">
        <f t="shared" si="5"/>
        <v>0</v>
      </c>
      <c r="F65">
        <f t="shared" si="5"/>
        <v>0</v>
      </c>
      <c r="G65">
        <f t="shared" si="5"/>
        <v>0</v>
      </c>
      <c r="H65">
        <f>SUM(H36:H64)</f>
        <v>0</v>
      </c>
      <c r="K65">
        <f>SUM(D65:H65)</f>
        <v>0</v>
      </c>
    </row>
    <row r="67" spans="3:11" x14ac:dyDescent="0.25">
      <c r="C67" s="8"/>
    </row>
  </sheetData>
  <mergeCells count="2">
    <mergeCell ref="A1:D1"/>
    <mergeCell ref="D2:G2"/>
  </mergeCells>
  <pageMargins left="0.74791666666666701" right="0.74791666666666701" top="1.27986111111111" bottom="1.27986111111111" header="0.51180555555555496" footer="0.51180555555555496"/>
  <pageSetup firstPageNumber="0" pageOrder="overThenDown" orientation="portrait" horizontalDpi="300" verticalDpi="300"/>
  <ignoredErrors>
    <ignoredError sqref="A33:A34 A36:A59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978e4ad-3b5e-4220-a910-503794ed6e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3893247D1AE54682EB90F44033BB4D" ma:contentTypeVersion="6" ma:contentTypeDescription="Ein neues Dokument erstellen." ma:contentTypeScope="" ma:versionID="fc81a6a23ef1e05efdd7dde6e2084fbf">
  <xsd:schema xmlns:xsd="http://www.w3.org/2001/XMLSchema" xmlns:xs="http://www.w3.org/2001/XMLSchema" xmlns:p="http://schemas.microsoft.com/office/2006/metadata/properties" xmlns:ns3="b978e4ad-3b5e-4220-a910-503794ed6e07" targetNamespace="http://schemas.microsoft.com/office/2006/metadata/properties" ma:root="true" ma:fieldsID="f3dab43392999985dc3532625c356d06" ns3:_="">
    <xsd:import namespace="b978e4ad-3b5e-4220-a910-503794ed6e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8e4ad-3b5e-4220-a910-503794ed6e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B243A4-69ED-483C-9AC2-4F9F422EF233}">
  <ds:schemaRefs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b978e4ad-3b5e-4220-a910-503794ed6e0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1A9843E-4123-427B-ABEE-4B0B2B0C1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8e4ad-3b5e-4220-a910-503794ed6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17FCB9-CB41-4B54-8D1D-6C0FCF91D4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Markus Joppich</dc:creator>
  <cp:keywords/>
  <dc:description/>
  <cp:lastModifiedBy>Lara Groß</cp:lastModifiedBy>
  <cp:revision>11</cp:revision>
  <dcterms:created xsi:type="dcterms:W3CDTF">2020-02-20T15:12:42Z</dcterms:created>
  <dcterms:modified xsi:type="dcterms:W3CDTF">2026-03-01T10:26:39Z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0x0101002F3893247D1AE54682EB90F44033BB4D</vt:lpwstr>
  </property>
</Properties>
</file>